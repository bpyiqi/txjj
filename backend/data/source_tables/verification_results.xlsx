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58975b23f946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tion_results" sheetId="1" r:id="Re9d6dd66abbe41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c57b43f8f40b8" /><Relationship Type="http://schemas.openxmlformats.org/officeDocument/2006/relationships/theme" Target="/xl/theme/theme1.xml" Id="R92f8a3a653624008" /><Relationship Type="http://schemas.openxmlformats.org/officeDocument/2006/relationships/sharedStrings" Target="/xl/sharedStrings.xml" Id="R17df719311ff413d" /><Relationship Type="http://schemas.openxmlformats.org/officeDocument/2006/relationships/worksheet" Target="/xl/worksheets/sheet1.xml" Id="Re9d6dd66abbe41de" /></Relationships>
</file>

<file path=xl/tables/table1.xml><?xml version="1.0" encoding="utf-8"?>
<x:table xmlns:x="http://schemas.openxmlformats.org/spreadsheetml/2006/main" id="1" name="VerificationResultsTable" displayName="VerificationResultsTable" ref="A1:G31" headerRowCount="1">
  <x:tableColumns count="7">
    <x:tableColumn id="1" name="object_id"/>
    <x:tableColumn id="2" name="required_count"/>
    <x:tableColumn id="3" name="matched_count"/>
    <x:tableColumn id="4" name="missing_evidence"/>
    <x:tableColumn id="5" name="completeness"/>
    <x:tableColumn id="6" name="status"/>
    <x:tableColumn id="7" name="issue_typ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d012d76ad9415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46" hidden="0" customWidth="1"/>
    <x:col min="5" max="5" width="16" hidden="0" customWidth="1"/>
    <x:col min="6" max="6" width="16" hidden="0" customWidth="1"/>
    <x:col min="7" max="7" width="18" hidden="0" customWidth="1"/>
  </x:cols>
  <x:sheetData>
    <x:row r="1" ht="30" customHeight="1">
      <x:c r="A1" s="6" t="str">
        <x:v>object_id</x:v>
      </x:c>
      <x:c r="B1" s="6" t="str">
        <x:v>required_count</x:v>
      </x:c>
      <x:c r="C1" s="6" t="str">
        <x:v>matched_count</x:v>
      </x:c>
      <x:c r="D1" s="6" t="str">
        <x:v>missing_evidence</x:v>
      </x:c>
      <x:c r="E1" s="6" t="str">
        <x:v>completeness</x:v>
      </x:c>
      <x:c r="F1" s="6" t="str">
        <x:v>status</x:v>
      </x:c>
      <x:c r="G1" s="6" t="str">
        <x:v>issue_type</x:v>
      </x:c>
    </x:row>
    <x:row r="2">
      <x:c r="A2" s="13" t="str">
        <x:v>PBO-JAD-MAR-0001</x:v>
      </x:c>
      <x:c r="B2" s="13" t="n">
        <x:v>5</x:v>
      </x:c>
      <x:c r="C2" s="13" t="n">
        <x:v>5</x:v>
      </x:c>
      <x:c r="D2" s="13" t="str">
        <x:v>无</x:v>
      </x:c>
      <x:c r="E2" s="16" t="n">
        <x:f>IF(B2=0,0,C2/B2)</x:f>
        <x:v>1</x:v>
      </x:c>
      <x:c r="F2" s="13" t="str">
        <x:f>IF(C2=0,"未验真",IF(C2&lt;B2,"部分匹配","已验真"))</x:f>
        <x:v>已验真</x:v>
      </x:c>
      <x:c r="G2" s="13" t="str">
        <x:f>IF(C2=B2,"无","缺失证据")</x:f>
        <x:v>无</x:v>
      </x:c>
    </x:row>
    <x:row r="3">
      <x:c r="A3" s="13" t="str">
        <x:v>PBO-JAD-MAR-0002</x:v>
      </x:c>
      <x:c r="B3" s="13" t="n">
        <x:v>5</x:v>
      </x:c>
      <x:c r="C3" s="13" t="n">
        <x:v>5</x:v>
      </x:c>
      <x:c r="D3" s="13" t="str">
        <x:v>无</x:v>
      </x:c>
      <x:c r="E3" s="16" t="n">
        <x:f>IF(B3=0,0,C3/B3)</x:f>
        <x:v>1</x:v>
      </x:c>
      <x:c r="F3" s="13" t="str">
        <x:f>IF(C3=0,"未验真",IF(C3&lt;B3,"部分匹配","已验真"))</x:f>
        <x:v>已验真</x:v>
      </x:c>
      <x:c r="G3" s="13" t="str">
        <x:f>IF(C3=B3,"无","缺失证据")</x:f>
        <x:v>无</x:v>
      </x:c>
    </x:row>
    <x:row r="4">
      <x:c r="A4" s="13" t="str">
        <x:v>PBO-JAD-MAR-0003</x:v>
      </x:c>
      <x:c r="B4" s="13" t="n">
        <x:v>5</x:v>
      </x:c>
      <x:c r="C4" s="13" t="n">
        <x:v>5</x:v>
      </x:c>
      <x:c r="D4" s="13" t="str">
        <x:v>无</x:v>
      </x:c>
      <x:c r="E4" s="16" t="n">
        <x:f>IF(B4=0,0,C4/B4)</x:f>
        <x:v>1</x:v>
      </x:c>
      <x:c r="F4" s="13" t="str">
        <x:f>IF(C4=0,"未验真",IF(C4&lt;B4,"部分匹配","已验真"))</x:f>
        <x:v>已验真</x:v>
      </x:c>
      <x:c r="G4" s="13" t="str">
        <x:f>IF(C4=B4,"无","缺失证据")</x:f>
        <x:v>无</x:v>
      </x:c>
    </x:row>
    <x:row r="5">
      <x:c r="A5" s="13" t="str">
        <x:v>PBO-JAD-MAR-0004</x:v>
      </x:c>
      <x:c r="B5" s="13" t="n">
        <x:v>5</x:v>
      </x:c>
      <x:c r="C5" s="13" t="n">
        <x:v>5</x:v>
      </x:c>
      <x:c r="D5" s="13" t="str">
        <x:v>无</x:v>
      </x:c>
      <x:c r="E5" s="16" t="n">
        <x:f>IF(B5=0,0,C5/B5)</x:f>
        <x:v>1</x:v>
      </x:c>
      <x:c r="F5" s="13" t="str">
        <x:f>IF(C5=0,"未验真",IF(C5&lt;B5,"部分匹配","已验真"))</x:f>
        <x:v>已验真</x:v>
      </x:c>
      <x:c r="G5" s="13" t="str">
        <x:f>IF(C5=B5,"无","缺失证据")</x:f>
        <x:v>无</x:v>
      </x:c>
    </x:row>
    <x:row r="6">
      <x:c r="A6" s="13" t="str">
        <x:v>PBO-JAD-MAR-0005</x:v>
      </x:c>
      <x:c r="B6" s="13" t="n">
        <x:v>5</x:v>
      </x:c>
      <x:c r="C6" s="13" t="n">
        <x:v>5</x:v>
      </x:c>
      <x:c r="D6" s="13" t="str">
        <x:v>无</x:v>
      </x:c>
      <x:c r="E6" s="16" t="n">
        <x:f>IF(B6=0,0,C6/B6)</x:f>
        <x:v>1</x:v>
      </x:c>
      <x:c r="F6" s="13" t="str">
        <x:f>IF(C6=0,"未验真",IF(C6&lt;B6,"部分匹配","已验真"))</x:f>
        <x:v>已验真</x:v>
      </x:c>
      <x:c r="G6" s="13" t="str">
        <x:f>IF(C6=B6,"无","缺失证据")</x:f>
        <x:v>无</x:v>
      </x:c>
    </x:row>
    <x:row r="7">
      <x:c r="A7" s="13" t="str">
        <x:v>PBO-JAD-MAR-0006</x:v>
      </x:c>
      <x:c r="B7" s="13" t="n">
        <x:v>5</x:v>
      </x:c>
      <x:c r="C7" s="13" t="n">
        <x:v>5</x:v>
      </x:c>
      <x:c r="D7" s="13" t="str">
        <x:v>无</x:v>
      </x:c>
      <x:c r="E7" s="16" t="n">
        <x:f>IF(B7=0,0,C7/B7)</x:f>
        <x:v>1</x:v>
      </x:c>
      <x:c r="F7" s="13" t="str">
        <x:f>IF(C7=0,"未验真",IF(C7&lt;B7,"部分匹配","已验真"))</x:f>
        <x:v>已验真</x:v>
      </x:c>
      <x:c r="G7" s="13" t="str">
        <x:f>IF(C7=B7,"无","缺失证据")</x:f>
        <x:v>无</x:v>
      </x:c>
    </x:row>
    <x:row r="8">
      <x:c r="A8" s="13" t="str">
        <x:v>PBO-JAD-MAR-0007</x:v>
      </x:c>
      <x:c r="B8" s="13" t="n">
        <x:v>5</x:v>
      </x:c>
      <x:c r="C8" s="13" t="n">
        <x:v>5</x:v>
      </x:c>
      <x:c r="D8" s="13" t="str">
        <x:v>无</x:v>
      </x:c>
      <x:c r="E8" s="16" t="n">
        <x:f>IF(B8=0,0,C8/B8)</x:f>
        <x:v>1</x:v>
      </x:c>
      <x:c r="F8" s="13" t="str">
        <x:f>IF(C8=0,"未验真",IF(C8&lt;B8,"部分匹配","已验真"))</x:f>
        <x:v>已验真</x:v>
      </x:c>
      <x:c r="G8" s="13" t="str">
        <x:f>IF(C8=B8,"无","缺失证据")</x:f>
        <x:v>无</x:v>
      </x:c>
    </x:row>
    <x:row r="9">
      <x:c r="A9" s="13" t="str">
        <x:v>PBO-JAD-MAR-0008</x:v>
      </x:c>
      <x:c r="B9" s="13" t="n">
        <x:v>5</x:v>
      </x:c>
      <x:c r="C9" s="13" t="n">
        <x:v>3</x:v>
      </x:c>
      <x:c r="D9" s="13" t="str">
        <x:v>永久编码/标识照片、引下光纤独立路由照片</x:v>
      </x:c>
      <x:c r="E9" s="16" t="n">
        <x:f>IF(B9=0,0,C9/B9)</x:f>
        <x:v>0.6</x:v>
      </x:c>
      <x:c r="F9" s="13" t="str">
        <x:f>IF(C9=0,"未验真",IF(C9&lt;B9,"部分匹配","已验真"))</x:f>
        <x:v>部分匹配</x:v>
      </x:c>
      <x:c r="G9" s="13" t="str">
        <x:f>IF(C9=B9,"无","缺失证据")</x:f>
        <x:v>缺失证据</x:v>
      </x:c>
    </x:row>
    <x:row r="10">
      <x:c r="A10" s="13" t="str">
        <x:v>PBO-JAD-MAR-0009</x:v>
      </x:c>
      <x:c r="B10" s="13" t="n">
        <x:v>5</x:v>
      </x:c>
      <x:c r="C10" s="13" t="n">
        <x:v>3</x:v>
      </x:c>
      <x:c r="D10" s="13" t="str">
        <x:v>永久编码/标识照片、引下光纤独立路由照片</x:v>
      </x:c>
      <x:c r="E10" s="16" t="n">
        <x:f>IF(B10=0,0,C10/B10)</x:f>
        <x:v>0.6</x:v>
      </x:c>
      <x:c r="F10" s="13" t="str">
        <x:f>IF(C10=0,"未验真",IF(C10&lt;B10,"部分匹配","已验真"))</x:f>
        <x:v>部分匹配</x:v>
      </x:c>
      <x:c r="G10" s="13" t="str">
        <x:f>IF(C10=B10,"无","缺失证据")</x:f>
        <x:v>缺失证据</x:v>
      </x:c>
    </x:row>
    <x:row r="11">
      <x:c r="A11" s="13" t="str">
        <x:v>PBO-JAD-MAR-0010</x:v>
      </x:c>
      <x:c r="B11" s="13" t="n">
        <x:v>5</x:v>
      </x:c>
      <x:c r="C11" s="13" t="n">
        <x:v>3</x:v>
      </x:c>
      <x:c r="D11" s="13" t="str">
        <x:v>永久编码/标识照片、引下光纤独立路由照片</x:v>
      </x:c>
      <x:c r="E11" s="16" t="n">
        <x:f>IF(B11=0,0,C11/B11)</x:f>
        <x:v>0.6</x:v>
      </x:c>
      <x:c r="F11" s="13" t="str">
        <x:f>IF(C11=0,"未验真",IF(C11&lt;B11,"部分匹配","已验真"))</x:f>
        <x:v>部分匹配</x:v>
      </x:c>
      <x:c r="G11" s="13" t="str">
        <x:f>IF(C11=B11,"无","缺失证据")</x:f>
        <x:v>缺失证据</x:v>
      </x:c>
    </x:row>
    <x:row r="12">
      <x:c r="A12" s="13" t="str">
        <x:v>PBO-JAD-MAR-0011</x:v>
      </x:c>
      <x:c r="B12" s="13" t="n">
        <x:v>5</x:v>
      </x:c>
      <x:c r="C12" s="13" t="n">
        <x:v>3</x:v>
      </x:c>
      <x:c r="D12" s="13" t="str">
        <x:v>永久编码/标识照片、引下光纤独立路由照片</x:v>
      </x:c>
      <x:c r="E12" s="16" t="n">
        <x:f>IF(B12=0,0,C12/B12)</x:f>
        <x:v>0.6</x:v>
      </x:c>
      <x:c r="F12" s="13" t="str">
        <x:f>IF(C12=0,"未验真",IF(C12&lt;B12,"部分匹配","已验真"))</x:f>
        <x:v>部分匹配</x:v>
      </x:c>
      <x:c r="G12" s="13" t="str">
        <x:f>IF(C12=B12,"无","缺失证据")</x:f>
        <x:v>缺失证据</x:v>
      </x:c>
    </x:row>
    <x:row r="13">
      <x:c r="A13" s="13" t="str">
        <x:v>PBO-JAD-MAR-0012</x:v>
      </x:c>
      <x:c r="B13" s="13" t="n">
        <x:v>5</x:v>
      </x:c>
      <x:c r="C13" s="13" t="n">
        <x:v>2</x:v>
      </x:c>
      <x:c r="D13" s="13" t="str">
        <x:v>箱体整体照片、永久编码/标识照片、引下光纤独立路由照片</x:v>
      </x:c>
      <x:c r="E13" s="16" t="n">
        <x:f>IF(B13=0,0,C13/B13)</x:f>
        <x:v>0.4</x:v>
      </x:c>
      <x:c r="F13" s="13" t="str">
        <x:f>IF(C13=0,"未验真",IF(C13&lt;B13,"部分匹配","已验真"))</x:f>
        <x:v>部分匹配</x:v>
      </x:c>
      <x:c r="G13" s="13" t="str">
        <x:f>IF(C13=B13,"无","缺失证据")</x:f>
        <x:v>缺失证据</x:v>
      </x:c>
    </x:row>
    <x:row r="14">
      <x:c r="A14" s="13" t="str">
        <x:v>PBO-JAD-MAR-0013</x:v>
      </x:c>
      <x:c r="B14" s="13" t="n">
        <x:v>5</x:v>
      </x:c>
      <x:c r="C14" s="13" t="n">
        <x:v>1</x:v>
      </x:c>
      <x:c r="D14" s="13" t="str">
        <x:v>箱体整体照片、永久编码/标识照片、箱内整体照片、端口近景照片</x:v>
      </x:c>
      <x:c r="E14" s="16" t="n">
        <x:f>IF(B14=0,0,C14/B14)</x:f>
        <x:v>0.2</x:v>
      </x:c>
      <x:c r="F14" s="13" t="str">
        <x:f>IF(C14=0,"未验真",IF(C14&lt;B14,"部分匹配","已验真"))</x:f>
        <x:v>部分匹配</x:v>
      </x:c>
      <x:c r="G14" s="13" t="str">
        <x:f>IF(C14=B14,"无","缺失证据")</x:f>
        <x:v>缺失证据</x:v>
      </x:c>
    </x:row>
    <x:row r="15">
      <x:c r="A15" s="13" t="str">
        <x:v>PBO-JAD-MAR-0014</x:v>
      </x:c>
      <x:c r="B15" s="13" t="n">
        <x:v>5</x:v>
      </x:c>
      <x:c r="C15" s="13" t="n">
        <x:v>1</x:v>
      </x:c>
      <x:c r="D15" s="13" t="str">
        <x:v>箱体整体照片、永久编码/标识照片、箱内整体照片、端口近景照片</x:v>
      </x:c>
      <x:c r="E15" s="16" t="n">
        <x:f>IF(B15=0,0,C15/B15)</x:f>
        <x:v>0.2</x:v>
      </x:c>
      <x:c r="F15" s="13" t="str">
        <x:f>IF(C15=0,"未验真",IF(C15&lt;B15,"部分匹配","已验真"))</x:f>
        <x:v>部分匹配</x:v>
      </x:c>
      <x:c r="G15" s="13" t="str">
        <x:f>IF(C15=B15,"无","缺失证据")</x:f>
        <x:v>缺失证据</x:v>
      </x:c>
    </x:row>
    <x:row r="16">
      <x:c r="A16" s="13" t="str">
        <x:v>PBO-JAD-MAR-0015</x:v>
      </x:c>
      <x:c r="B16" s="13" t="n">
        <x:v>5</x:v>
      </x:c>
      <x:c r="C16" s="13" t="n">
        <x:v>1</x:v>
      </x:c>
      <x:c r="D16" s="13" t="str">
        <x:v>箱体整体照片、永久编码/标识照片、箱内整体照片、端口近景照片</x:v>
      </x:c>
      <x:c r="E16" s="16" t="n">
        <x:f>IF(B16=0,0,C16/B16)</x:f>
        <x:v>0.2</x:v>
      </x:c>
      <x:c r="F16" s="13" t="str">
        <x:f>IF(C16=0,"未验真",IF(C16&lt;B16,"部分匹配","已验真"))</x:f>
        <x:v>部分匹配</x:v>
      </x:c>
      <x:c r="G16" s="13" t="str">
        <x:f>IF(C16=B16,"无","缺失证据")</x:f>
        <x:v>缺失证据</x:v>
      </x:c>
    </x:row>
    <x:row r="17">
      <x:c r="A17" s="13" t="str">
        <x:v>PBO-JAD-MAR-0016</x:v>
      </x:c>
      <x:c r="B17" s="13" t="n">
        <x:v>5</x:v>
      </x:c>
      <x:c r="C17" s="13" t="n">
        <x:v>1</x:v>
      </x:c>
      <x:c r="D17" s="13" t="str">
        <x:v>箱体整体照片、永久编码/标识照片、箱内整体照片、端口近景照片</x:v>
      </x:c>
      <x:c r="E17" s="16" t="n">
        <x:f>IF(B17=0,0,C17/B17)</x:f>
        <x:v>0.2</x:v>
      </x:c>
      <x:c r="F17" s="13" t="str">
        <x:f>IF(C17=0,"未验真",IF(C17&lt;B17,"部分匹配","已验真"))</x:f>
        <x:v>部分匹配</x:v>
      </x:c>
      <x:c r="G17" s="13" t="str">
        <x:f>IF(C17=B17,"无","缺失证据")</x:f>
        <x:v>缺失证据</x:v>
      </x:c>
    </x:row>
    <x:row r="18">
      <x:c r="A18" s="13" t="str">
        <x:v>PBO-JAD-MAR-0017</x:v>
      </x:c>
      <x:c r="B18" s="13" t="n">
        <x:v>5</x:v>
      </x:c>
      <x:c r="C18" s="13" t="n">
        <x:v>1</x:v>
      </x:c>
      <x:c r="D18" s="13" t="str">
        <x:v>箱体整体照片、永久编码/标识照片、箱内整体照片、端口近景照片</x:v>
      </x:c>
      <x:c r="E18" s="16" t="n">
        <x:f>IF(B18=0,0,C18/B18)</x:f>
        <x:v>0.2</x:v>
      </x:c>
      <x:c r="F18" s="13" t="str">
        <x:f>IF(C18=0,"未验真",IF(C18&lt;B18,"部分匹配","已验真"))</x:f>
        <x:v>部分匹配</x:v>
      </x:c>
      <x:c r="G18" s="13" t="str">
        <x:f>IF(C18=B18,"无","缺失证据")</x:f>
        <x:v>缺失证据</x:v>
      </x:c>
    </x:row>
    <x:row r="19">
      <x:c r="A19" s="13" t="str">
        <x:v>PBO-JAD-MAR-0018</x:v>
      </x:c>
      <x:c r="B19" s="13" t="n">
        <x:v>5</x:v>
      </x:c>
      <x:c r="C19" s="13" t="n">
        <x:v>1</x:v>
      </x:c>
      <x:c r="D19" s="13" t="str">
        <x:v>箱体整体照片、永久编码/标识照片、箱内整体照片、端口近景照片</x:v>
      </x:c>
      <x:c r="E19" s="16" t="n">
        <x:f>IF(B19=0,0,C19/B19)</x:f>
        <x:v>0.2</x:v>
      </x:c>
      <x:c r="F19" s="13" t="str">
        <x:f>IF(C19=0,"未验真",IF(C19&lt;B19,"部分匹配","已验真"))</x:f>
        <x:v>部分匹配</x:v>
      </x:c>
      <x:c r="G19" s="13" t="str">
        <x:f>IF(C19=B19,"无","缺失证据")</x:f>
        <x:v>缺失证据</x:v>
      </x:c>
    </x:row>
    <x:row r="20">
      <x:c r="A20" s="13" t="str">
        <x:v>PBO-JAD-MAR-0019</x:v>
      </x:c>
      <x:c r="B20" s="13" t="n">
        <x:v>5</x:v>
      </x:c>
      <x:c r="C20" s="13" t="n">
        <x:v>1</x:v>
      </x:c>
      <x:c r="D20" s="13" t="str">
        <x:v>箱体整体照片、永久编码/标识照片、箱内整体照片、端口近景照片</x:v>
      </x:c>
      <x:c r="E20" s="16" t="n">
        <x:f>IF(B20=0,0,C20/B20)</x:f>
        <x:v>0.2</x:v>
      </x:c>
      <x:c r="F20" s="13" t="str">
        <x:f>IF(C20=0,"未验真",IF(C20&lt;B20,"部分匹配","已验真"))</x:f>
        <x:v>部分匹配</x:v>
      </x:c>
      <x:c r="G20" s="13" t="str">
        <x:f>IF(C20=B20,"无","缺失证据")</x:f>
        <x:v>缺失证据</x:v>
      </x:c>
    </x:row>
    <x:row r="21">
      <x:c r="A21" s="13" t="str">
        <x:v>PBO-JAD-MAR-0020</x:v>
      </x:c>
      <x:c r="B21" s="13" t="n">
        <x:v>5</x:v>
      </x:c>
      <x:c r="C21" s="13" t="n">
        <x:v>1</x:v>
      </x:c>
      <x:c r="D21" s="13" t="str">
        <x:v>箱体整体照片、永久编码/标识照片、箱内整体照片、端口近景照片</x:v>
      </x:c>
      <x:c r="E21" s="16" t="n">
        <x:f>IF(B21=0,0,C21/B21)</x:f>
        <x:v>0.2</x:v>
      </x:c>
      <x:c r="F21" s="13" t="str">
        <x:f>IF(C21=0,"未验真",IF(C21&lt;B21,"部分匹配","已验真"))</x:f>
        <x:v>部分匹配</x:v>
      </x:c>
      <x:c r="G21" s="13" t="str">
        <x:f>IF(C21=B21,"无","缺失证据")</x:f>
        <x:v>缺失证据</x:v>
      </x:c>
    </x:row>
    <x:row r="22">
      <x:c r="A22" s="13" t="str">
        <x:v>PBO-JAD-MAR-0021</x:v>
      </x:c>
      <x:c r="B22" s="13" t="n">
        <x:v>5</x:v>
      </x:c>
      <x:c r="C22" s="13" t="n">
        <x:v>0</x:v>
      </x:c>
      <x:c r="D22" s="13" t="str">
        <x:v>箱体整体照片、永久编码/标识照片、箱内整体照片、端口近景照片、引下光纤独立路由照片</x:v>
      </x:c>
      <x:c r="E22" s="16" t="n">
        <x:f>IF(B22=0,0,C22/B22)</x:f>
        <x:v>0</x:v>
      </x:c>
      <x:c r="F22" s="13" t="str">
        <x:f>IF(C22=0,"未验真",IF(C22&lt;B22,"部分匹配","已验真"))</x:f>
        <x:v>未验真</x:v>
      </x:c>
      <x:c r="G22" s="13" t="str">
        <x:f>IF(C22=B22,"无","缺失证据")</x:f>
        <x:v>缺失证据</x:v>
      </x:c>
    </x:row>
    <x:row r="23">
      <x:c r="A23" s="13" t="str">
        <x:v>PBO-JAD-MAR-0022</x:v>
      </x:c>
      <x:c r="B23" s="13" t="n">
        <x:v>5</x:v>
      </x:c>
      <x:c r="C23" s="13" t="n">
        <x:v>0</x:v>
      </x:c>
      <x:c r="D23" s="13" t="str">
        <x:v>箱体整体照片、永久编码/标识照片、箱内整体照片、端口近景照片、引下光纤独立路由照片</x:v>
      </x:c>
      <x:c r="E23" s="16" t="n">
        <x:f>IF(B23=0,0,C23/B23)</x:f>
        <x:v>0</x:v>
      </x:c>
      <x:c r="F23" s="13" t="str">
        <x:f>IF(C23=0,"未验真",IF(C23&lt;B23,"部分匹配","已验真"))</x:f>
        <x:v>未验真</x:v>
      </x:c>
      <x:c r="G23" s="13" t="str">
        <x:f>IF(C23=B23,"无","缺失证据")</x:f>
        <x:v>缺失证据</x:v>
      </x:c>
    </x:row>
    <x:row r="24">
      <x:c r="A24" s="13" t="str">
        <x:v>PBO-JAD-MAR-0023</x:v>
      </x:c>
      <x:c r="B24" s="13" t="n">
        <x:v>5</x:v>
      </x:c>
      <x:c r="C24" s="13" t="n">
        <x:v>0</x:v>
      </x:c>
      <x:c r="D24" s="13" t="str">
        <x:v>箱体整体照片、永久编码/标识照片、箱内整体照片、端口近景照片、引下光纤独立路由照片</x:v>
      </x:c>
      <x:c r="E24" s="16" t="n">
        <x:f>IF(B24=0,0,C24/B24)</x:f>
        <x:v>0</x:v>
      </x:c>
      <x:c r="F24" s="13" t="str">
        <x:f>IF(C24=0,"未验真",IF(C24&lt;B24,"部分匹配","已验真"))</x:f>
        <x:v>未验真</x:v>
      </x:c>
      <x:c r="G24" s="13" t="str">
        <x:f>IF(C24=B24,"无","缺失证据")</x:f>
        <x:v>缺失证据</x:v>
      </x:c>
    </x:row>
    <x:row r="25">
      <x:c r="A25" s="13" t="str">
        <x:v>PBO-JAD-MAR-0024</x:v>
      </x:c>
      <x:c r="B25" s="13" t="n">
        <x:v>5</x:v>
      </x:c>
      <x:c r="C25" s="13" t="n">
        <x:v>0</x:v>
      </x:c>
      <x:c r="D25" s="13" t="str">
        <x:v>箱体整体照片、永久编码/标识照片、箱内整体照片、端口近景照片、引下光纤独立路由照片</x:v>
      </x:c>
      <x:c r="E25" s="16" t="n">
        <x:f>IF(B25=0,0,C25/B25)</x:f>
        <x:v>0</x:v>
      </x:c>
      <x:c r="F25" s="13" t="str">
        <x:f>IF(C25=0,"未验真",IF(C25&lt;B25,"部分匹配","已验真"))</x:f>
        <x:v>未验真</x:v>
      </x:c>
      <x:c r="G25" s="13" t="str">
        <x:f>IF(C25=B25,"无","缺失证据")</x:f>
        <x:v>缺失证据</x:v>
      </x:c>
    </x:row>
    <x:row r="26">
      <x:c r="A26" s="13" t="str">
        <x:v>PBO-JAD-MAR-0025</x:v>
      </x:c>
      <x:c r="B26" s="13" t="n">
        <x:v>5</x:v>
      </x:c>
      <x:c r="C26" s="13" t="n">
        <x:v>0</x:v>
      </x:c>
      <x:c r="D26" s="13" t="str">
        <x:v>箱体整体照片、永久编码/标识照片、箱内整体照片、端口近景照片、引下光纤独立路由照片</x:v>
      </x:c>
      <x:c r="E26" s="16" t="n">
        <x:f>IF(B26=0,0,C26/B26)</x:f>
        <x:v>0</x:v>
      </x:c>
      <x:c r="F26" s="13" t="str">
        <x:f>IF(C26=0,"未验真",IF(C26&lt;B26,"部分匹配","已验真"))</x:f>
        <x:v>未验真</x:v>
      </x:c>
      <x:c r="G26" s="13" t="str">
        <x:f>IF(C26=B26,"无","缺失证据")</x:f>
        <x:v>缺失证据</x:v>
      </x:c>
    </x:row>
    <x:row r="27">
      <x:c r="A27" s="13" t="str">
        <x:v>PBO-JAD-MAR-0026</x:v>
      </x:c>
      <x:c r="B27" s="13" t="n">
        <x:v>5</x:v>
      </x:c>
      <x:c r="C27" s="13" t="n">
        <x:v>0</x:v>
      </x:c>
      <x:c r="D27" s="13" t="str">
        <x:v>箱体整体照片、永久编码/标识照片、箱内整体照片、端口近景照片、引下光纤独立路由照片</x:v>
      </x:c>
      <x:c r="E27" s="16" t="n">
        <x:f>IF(B27=0,0,C27/B27)</x:f>
        <x:v>0</x:v>
      </x:c>
      <x:c r="F27" s="13" t="str">
        <x:f>IF(C27=0,"未验真",IF(C27&lt;B27,"部分匹配","已验真"))</x:f>
        <x:v>未验真</x:v>
      </x:c>
      <x:c r="G27" s="13" t="str">
        <x:f>IF(C27=B27,"无","缺失证据")</x:f>
        <x:v>缺失证据</x:v>
      </x:c>
    </x:row>
    <x:row r="28">
      <x:c r="A28" s="13" t="str">
        <x:v>PBO-JAD-MAR-0027</x:v>
      </x:c>
      <x:c r="B28" s="13" t="n">
        <x:v>5</x:v>
      </x:c>
      <x:c r="C28" s="13" t="n">
        <x:v>0</x:v>
      </x:c>
      <x:c r="D28" s="13" t="str">
        <x:v>箱体整体照片、永久编码/标识照片、箱内整体照片、端口近景照片、引下光纤独立路由照片</x:v>
      </x:c>
      <x:c r="E28" s="16" t="n">
        <x:f>IF(B28=0,0,C28/B28)</x:f>
        <x:v>0</x:v>
      </x:c>
      <x:c r="F28" s="13" t="str">
        <x:f>IF(C28=0,"未验真",IF(C28&lt;B28,"部分匹配","已验真"))</x:f>
        <x:v>未验真</x:v>
      </x:c>
      <x:c r="G28" s="13" t="str">
        <x:f>IF(C28=B28,"无","缺失证据")</x:f>
        <x:v>缺失证据</x:v>
      </x:c>
    </x:row>
    <x:row r="29">
      <x:c r="A29" s="13" t="str">
        <x:v>PBO-JAD-MAR-0028</x:v>
      </x:c>
      <x:c r="B29" s="13" t="n">
        <x:v>5</x:v>
      </x:c>
      <x:c r="C29" s="13" t="n">
        <x:v>0</x:v>
      </x:c>
      <x:c r="D29" s="13" t="str">
        <x:v>箱体整体照片、永久编码/标识照片、箱内整体照片、端口近景照片、引下光纤独立路由照片</x:v>
      </x:c>
      <x:c r="E29" s="16" t="n">
        <x:f>IF(B29=0,0,C29/B29)</x:f>
        <x:v>0</x:v>
      </x:c>
      <x:c r="F29" s="13" t="str">
        <x:f>IF(C29=0,"未验真",IF(C29&lt;B29,"部分匹配","已验真"))</x:f>
        <x:v>未验真</x:v>
      </x:c>
      <x:c r="G29" s="13" t="str">
        <x:f>IF(C29=B29,"无","缺失证据")</x:f>
        <x:v>缺失证据</x:v>
      </x:c>
    </x:row>
    <x:row r="30">
      <x:c r="A30" s="13" t="str">
        <x:v>PBO-JAD-MAR-0029</x:v>
      </x:c>
      <x:c r="B30" s="13" t="n">
        <x:v>5</x:v>
      </x:c>
      <x:c r="C30" s="13" t="n">
        <x:v>0</x:v>
      </x:c>
      <x:c r="D30" s="13" t="str">
        <x:v>箱体整体照片、永久编码/标识照片、箱内整体照片、端口近景照片、引下光纤独立路由照片</x:v>
      </x:c>
      <x:c r="E30" s="16" t="n">
        <x:f>IF(B30=0,0,C30/B30)</x:f>
        <x:v>0</x:v>
      </x:c>
      <x:c r="F30" s="13" t="str">
        <x:f>IF(C30=0,"未验真",IF(C30&lt;B30,"部分匹配","已验真"))</x:f>
        <x:v>未验真</x:v>
      </x:c>
      <x:c r="G30" s="13" t="str">
        <x:f>IF(C30=B30,"无","缺失证据")</x:f>
        <x:v>缺失证据</x:v>
      </x:c>
    </x:row>
    <x:row r="31">
      <x:c r="A31" s="13" t="str">
        <x:v>PBO-JAD-MAR-0030</x:v>
      </x:c>
      <x:c r="B31" s="13" t="n">
        <x:v>5</x:v>
      </x:c>
      <x:c r="C31" s="13" t="n">
        <x:v>0</x:v>
      </x:c>
      <x:c r="D31" s="13" t="str">
        <x:v>箱体整体照片、永久编码/标识照片、箱内整体照片、端口近景照片、引下光纤独立路由照片</x:v>
      </x:c>
      <x:c r="E31" s="16" t="n">
        <x:f>IF(B31=0,0,C31/B31)</x:f>
        <x:v>0</x:v>
      </x:c>
      <x:c r="F31" s="13" t="str">
        <x:f>IF(C31=0,"未验真",IF(C31&lt;B31,"部分匹配","已验真"))</x:f>
        <x:v>未验真</x:v>
      </x:c>
      <x:c r="G31" s="13" t="str">
        <x:f>IF(C31=B31,"无","缺失证据")</x:f>
        <x:v>缺失证据</x:v>
      </x:c>
    </x:row>
  </x:sheetData>
  <x:conditionalFormatting sqref="E2:E31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{A2F034D1-30C0-D179-D1EE-D164999F065E}</x14:id>
        </x:ext>
      </x:extLst>
    </x:cfRule>
  </x:conditionalFormatting>
  <x:conditionalFormatting sqref="F2:F31">
    <x:cfRule type="expression" dxfId="0" priority="2">
      <x:formula>F2="已验真"</x:formula>
    </x:cfRule>
    <x:cfRule type="expression" dxfId="1" priority="3">
      <x:formula>F2="部分匹配"</x:formula>
    </x:cfRule>
    <x:cfRule type="expression" dxfId="2" priority="4">
      <x:formula>F2="未验真"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d012d76ad9415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2F034D1-30C0-D179-D1EE-D164999F065E}">
            <x14:dataBar gradient="1">
              <x14:cfvo type="min"/>
              <x14:cfvo type="max"/>
              <x14:fillColor rgb="FF5B9BD5"/>
            </x14:dataBar>
          </x14:cfRule>
          <xm:sqref>E2:E31</xm:sqref>
        </x14:conditionalFormatting>
      </x14:conditionalFormattings>
    </x:ext>
  </x:extLst>
</x:worksheet>
</file>